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" sheetId="1" r:id="rId5"/>
    <sheet state="visible" name="product pivot " sheetId="2" r:id="rId6"/>
    <sheet state="visible" name="Salesperson table " sheetId="3" r:id="rId7"/>
    <sheet state="visible" name="Category pivot" sheetId="4" r:id="rId8"/>
    <sheet state="visible" name="reign pivot " sheetId="5" r:id="rId9"/>
    <sheet state="visible" name="working " sheetId="6" r:id="rId10"/>
    <sheet state="visible" name="summary" sheetId="7" r:id="rId11"/>
  </sheets>
  <definedNames>
    <definedName hidden="1" localSheetId="0" name="_xlnm._FilterDatabase">'Raw Data '!$A$1:$H$31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<sst xmlns="http://schemas.openxmlformats.org/spreadsheetml/2006/main" count="183" uniqueCount="49">
  <si>
    <t>Date</t>
  </si>
  <si>
    <t xml:space="preserve">product </t>
  </si>
  <si>
    <t>category</t>
  </si>
  <si>
    <t>reign</t>
  </si>
  <si>
    <t>salesperson</t>
  </si>
  <si>
    <t xml:space="preserve">quantity </t>
  </si>
  <si>
    <t xml:space="preserve">unit price </t>
  </si>
  <si>
    <t xml:space="preserve">sales </t>
  </si>
  <si>
    <t>Laptop</t>
  </si>
  <si>
    <t>Electronics</t>
  </si>
  <si>
    <t>East</t>
  </si>
  <si>
    <t>Priya</t>
  </si>
  <si>
    <t>North</t>
  </si>
  <si>
    <t>Rahul</t>
  </si>
  <si>
    <t>South</t>
  </si>
  <si>
    <t>Aman</t>
  </si>
  <si>
    <t>West</t>
  </si>
  <si>
    <t>Rohit</t>
  </si>
  <si>
    <t>Neha</t>
  </si>
  <si>
    <t>Printer</t>
  </si>
  <si>
    <t>Monitor</t>
  </si>
  <si>
    <t>Headphones</t>
  </si>
  <si>
    <t>Accessories</t>
  </si>
  <si>
    <t xml:space="preserve">SUM of sales </t>
  </si>
  <si>
    <t>Keyboard</t>
  </si>
  <si>
    <t>Grand Total</t>
  </si>
  <si>
    <t>Mouse</t>
  </si>
  <si>
    <t>Analysis</t>
  </si>
  <si>
    <t>Formula / Result</t>
  </si>
  <si>
    <t>Total Sales</t>
  </si>
  <si>
    <t>Total Quantity</t>
  </si>
  <si>
    <t>Average Sales</t>
  </si>
  <si>
    <t>Total Orders</t>
  </si>
  <si>
    <t>SALES ANALYSIS SUMMARY</t>
  </si>
  <si>
    <t>KPI</t>
  </si>
  <si>
    <t>North Region Sales</t>
  </si>
  <si>
    <t>Value</t>
  </si>
  <si>
    <t xml:space="preserve">key findings </t>
  </si>
  <si>
    <t>South Region Sales</t>
  </si>
  <si>
    <t>1. Total sales and total quantity were calculated from the raw sales data.</t>
  </si>
  <si>
    <t>East Region Sales</t>
  </si>
  <si>
    <t>2. Region-wise sales were analyzed using a PivotTable.</t>
  </si>
  <si>
    <t>West Region Sales</t>
  </si>
  <si>
    <t>3. Category-wise sales helped compare Electronics and Accessories performance.</t>
  </si>
  <si>
    <t>Electronics Sales</t>
  </si>
  <si>
    <t>4. Salesperson-wise analysis shows the contribution of each salesperson.</t>
  </si>
  <si>
    <t>Average Order Value</t>
  </si>
  <si>
    <t>5. Product-wise sales and quantity were analyzed to identify product performance.</t>
  </si>
  <si>
    <t>Accessories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</si>
</sst>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i/>
      <sz val="13.0"/>
      <color theme="1"/>
      <name val="Arial"/>
      <scheme val="minor"/>
    </font>
    <font>
      <color theme="1"/>
      <name val="Arial"/>
      <scheme val="minor"/>
    </font>
    <font>
      <b/>
      <i/>
      <sz val="15.0"/>
      <color theme="5"/>
      <name val="Comfortaa"/>
    </font>
    <font>
      <b/>
      <i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1" sheet="Raw Data "/>
  </cacheSource>
  <cacheFields>
    <cacheField name="Date" numFmtId="164">
      <sharedItems containsSemiMixedTypes="0" containsDate="1" containsString="0">
        <d v="2026-09-11T00:00:00Z"/>
        <d v="2026-09-01T00:00:00Z"/>
        <d v="2026-09-17T00:00:00Z"/>
        <d v="2026-09-29T00:00:00Z"/>
        <d v="2026-09-05T00:00:00Z"/>
        <d v="2026-09-23T00:00:00Z"/>
        <d v="2026-09-19T00:00:00Z"/>
        <d v="2026-09-16T00:00:00Z"/>
        <d v="2026-09-04T00:00:00Z"/>
        <d v="2026-09-07T00:00:00Z"/>
        <d v="2026-09-25T00:00:00Z"/>
        <d v="2026-09-28T00:00:00Z"/>
        <d v="2026-09-22T00:00:00Z"/>
        <d v="2026-09-13T00:00:00Z"/>
        <d v="2026-09-10T00:00:00Z"/>
        <d v="2026-09-24T00:00:00Z"/>
        <d v="2026-09-06T00:00:00Z"/>
        <d v="2026-09-18T00:00:00Z"/>
        <d v="2026-09-30T00:00:00Z"/>
        <d v="2026-09-12T00:00:00Z"/>
        <d v="2026-09-27T00:00:00Z"/>
        <d v="2026-09-14T00:00:00Z"/>
        <d v="2026-09-09T00:00:00Z"/>
        <d v="2026-09-20T00:00:00Z"/>
        <d v="2026-09-21T00:00:00Z"/>
        <d v="2026-09-26T00:00:00Z"/>
        <d v="2026-09-03T00:00:00Z"/>
        <d v="2026-09-08T00:00:00Z"/>
        <d v="2026-09-15T00:00:00Z"/>
        <d v="2026-09-02T00:00:00Z"/>
      </sharedItems>
    </cacheField>
    <cacheField name="product " numFmtId="0">
      <sharedItems>
        <s v="Laptop"/>
        <s v="Printer"/>
        <s v="Monitor"/>
        <s v="Headphones"/>
        <s v="Keyboard"/>
        <s v="Mouse"/>
      </sharedItems>
    </cacheField>
    <cacheField name="category" numFmtId="0">
      <sharedItems>
        <s v="Electronics"/>
        <s v="Accessories"/>
      </sharedItems>
    </cacheField>
    <cacheField name="reign" numFmtId="0">
      <sharedItems>
        <s v="East"/>
        <s v="North"/>
        <s v="South"/>
        <s v="West"/>
      </sharedItems>
    </cacheField>
    <cacheField name="salesperson" numFmtId="0">
      <sharedItems>
        <s v="Priya"/>
        <s v="Rahul"/>
        <s v="Aman"/>
        <s v="Rohit"/>
        <s v="Neha"/>
      </sharedItems>
    </cacheField>
    <cacheField name="quantity " numFmtId="0">
      <sharedItems containsSemiMixedTypes="0" containsString="0" containsNumber="1" containsInteger="1">
        <n v="4.0"/>
        <n v="3.0"/>
        <n v="2.0"/>
        <n v="5.0"/>
        <n v="6.0"/>
        <n v="14.0"/>
        <n v="12.0"/>
        <n v="11.0"/>
        <n v="10.0"/>
        <n v="9.0"/>
        <n v="20.0"/>
        <n v="18.0"/>
        <n v="16.0"/>
        <n v="8.0"/>
        <n v="15.0"/>
        <n v="7.0"/>
      </sharedItems>
    </cacheField>
    <cacheField name="unit price " numFmtId="0">
      <sharedItems containsSemiMixedTypes="0" containsString="0" containsNumber="1" containsInteger="1">
        <n v="55000.0"/>
        <n v="15000.0"/>
        <n v="12000.0"/>
        <n v="2000.0"/>
        <n v="1500.0"/>
        <n v="800.0"/>
      </sharedItems>
    </cacheField>
    <cacheField name="sales " numFmtId="0">
      <sharedItems containsSemiMixedTypes="0" containsString="0" containsNumber="1" containsInteger="1">
        <n v="220000.0"/>
        <n v="165000.0"/>
        <n v="110000.0"/>
        <n v="75000.0"/>
        <n v="72000.0"/>
        <n v="60000.0"/>
        <n v="48000.0"/>
        <n v="45000.0"/>
        <n v="36000.0"/>
        <n v="28000.0"/>
        <n v="24000.0"/>
        <n v="22000.0"/>
        <n v="20000.0"/>
        <n v="18000.0"/>
        <n v="16000.0"/>
        <n v="15000.0"/>
        <n v="14400.0"/>
        <n v="13500.0"/>
        <n v="12800.0"/>
        <n v="12000.0"/>
        <n v="10500.0"/>
        <n v="8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 pivot " cacheId="0" dataCaption="" compact="0" compactData="0">
  <location ref="A1:B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 " axis="axisRow" compact="0" outline="0" multipleItemSelectionAllowed="1" showAll="0" sortType="ascending">
      <items>
        <item x="3"/>
        <item x="4"/>
        <item x="0"/>
        <item x="2"/>
        <item x="5"/>
        <item x="1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reig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 pric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1"/>
  </rowFields>
  <dataFields>
    <dataField name="SUM of sales " fld="7" baseField="0"/>
  </dataFields>
</pivotTableDefinition>
</file>

<file path=xl/pivotTables/pivotTable2.xml><?xml version="1.0" encoding="utf-8"?>
<pivotTableDefinition xmlns="http://schemas.openxmlformats.org/spreadsheetml/2006/main" name="Salesperson table " cacheId="0" dataCaption="" compact="0" compactData="0">
  <location ref="A1:B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reign" compact="0" outline="0" multipleItemSelectionAllowed="1" showAll="0">
      <items>
        <item x="0"/>
        <item x="1"/>
        <item x="2"/>
        <item x="3"/>
        <item t="default"/>
      </items>
    </pivotField>
    <pivotField name="salesperson" axis="axisRow" compact="0" outline="0" multipleItemSelectionAllowed="1" showAll="0" sortType="ascending">
      <items>
        <item x="2"/>
        <item x="4"/>
        <item x="0"/>
        <item x="1"/>
        <item x="3"/>
        <item t="default"/>
      </items>
    </pivotField>
    <pivotField name="quant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 pric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4"/>
  </rowFields>
  <dataFields>
    <dataField name="SUM of sales " fld="7" baseField="0"/>
  </dataFields>
</pivotTableDefinition>
</file>

<file path=xl/pivotTables/pivotTable3.xml><?xml version="1.0" encoding="utf-8"?>
<pivotTableDefinition xmlns="http://schemas.openxmlformats.org/spreadsheetml/2006/main" name="Category pivot" cacheId="0" dataCaption="" compact="0" compactData="0">
  <location ref="A1:B4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1"/>
        <item x="0"/>
        <item t="default"/>
      </items>
    </pivotField>
    <pivotField name="reig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 pric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2"/>
  </rowFields>
  <dataFields>
    <dataField name="SUM of sales " fld="7" baseField="0"/>
  </dataFields>
</pivotTableDefinition>
</file>

<file path=xl/pivotTables/pivotTable4.xml><?xml version="1.0" encoding="utf-8"?>
<pivotTableDefinition xmlns="http://schemas.openxmlformats.org/spreadsheetml/2006/main" name="reign pivot " cacheId="0" dataCaption="" compact="0" compactData="0">
  <location ref="A1:B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reig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 pric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3"/>
  </rowFields>
  <dataFields>
    <dataField name="SUM of sales 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2.13"/>
    <col customWidth="1" min="3" max="3" width="12.5"/>
    <col customWidth="1" min="4" max="4" width="8.75"/>
    <col customWidth="1" min="5" max="5" width="16.13"/>
    <col customWidth="1" min="6" max="6" width="12.5"/>
    <col customWidth="1" min="7" max="7" width="13.88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46276.0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4.0</v>
      </c>
      <c r="G2" s="3">
        <v>55000.0</v>
      </c>
      <c r="H2" s="3">
        <v>220000.0</v>
      </c>
    </row>
    <row r="3">
      <c r="A3" s="2">
        <v>46266.0</v>
      </c>
      <c r="B3" s="3" t="s">
        <v>8</v>
      </c>
      <c r="C3" s="3" t="s">
        <v>9</v>
      </c>
      <c r="D3" s="3" t="s">
        <v>12</v>
      </c>
      <c r="E3" s="3" t="s">
        <v>13</v>
      </c>
      <c r="F3" s="3">
        <v>3.0</v>
      </c>
      <c r="G3" s="3">
        <v>55000.0</v>
      </c>
      <c r="H3" s="3">
        <v>165000.0</v>
      </c>
    </row>
    <row r="4">
      <c r="A4" s="2">
        <v>46282.0</v>
      </c>
      <c r="B4" s="3" t="s">
        <v>8</v>
      </c>
      <c r="C4" s="3" t="s">
        <v>9</v>
      </c>
      <c r="D4" s="3" t="s">
        <v>14</v>
      </c>
      <c r="E4" s="3" t="s">
        <v>15</v>
      </c>
      <c r="F4" s="3">
        <v>3.0</v>
      </c>
      <c r="G4" s="3">
        <v>55000.0</v>
      </c>
      <c r="H4" s="3">
        <v>165000.0</v>
      </c>
    </row>
    <row r="5">
      <c r="A5" s="2">
        <v>46294.0</v>
      </c>
      <c r="B5" s="3" t="s">
        <v>8</v>
      </c>
      <c r="C5" s="3" t="s">
        <v>9</v>
      </c>
      <c r="D5" s="3" t="s">
        <v>16</v>
      </c>
      <c r="E5" s="3" t="s">
        <v>17</v>
      </c>
      <c r="F5" s="3">
        <v>3.0</v>
      </c>
      <c r="G5" s="3">
        <v>55000.0</v>
      </c>
      <c r="H5" s="3">
        <v>165000.0</v>
      </c>
    </row>
    <row r="6">
      <c r="A6" s="2">
        <v>46270.0</v>
      </c>
      <c r="B6" s="3" t="s">
        <v>8</v>
      </c>
      <c r="C6" s="3" t="s">
        <v>9</v>
      </c>
      <c r="D6" s="3" t="s">
        <v>16</v>
      </c>
      <c r="E6" s="3" t="s">
        <v>17</v>
      </c>
      <c r="F6" s="3">
        <v>2.0</v>
      </c>
      <c r="G6" s="3">
        <v>55000.0</v>
      </c>
      <c r="H6" s="3">
        <v>110000.0</v>
      </c>
    </row>
    <row r="7">
      <c r="A7" s="2">
        <v>46288.0</v>
      </c>
      <c r="B7" s="3" t="s">
        <v>8</v>
      </c>
      <c r="C7" s="3" t="s">
        <v>9</v>
      </c>
      <c r="D7" s="3" t="s">
        <v>12</v>
      </c>
      <c r="E7" s="3" t="s">
        <v>18</v>
      </c>
      <c r="F7" s="3">
        <v>2.0</v>
      </c>
      <c r="G7" s="3">
        <v>55000.0</v>
      </c>
      <c r="H7" s="3">
        <v>110000.0</v>
      </c>
    </row>
    <row r="8">
      <c r="A8" s="2">
        <v>46284.0</v>
      </c>
      <c r="B8" s="3" t="s">
        <v>19</v>
      </c>
      <c r="C8" s="3" t="s">
        <v>9</v>
      </c>
      <c r="D8" s="3" t="s">
        <v>12</v>
      </c>
      <c r="E8" s="3" t="s">
        <v>17</v>
      </c>
      <c r="F8" s="3">
        <v>5.0</v>
      </c>
      <c r="G8" s="3">
        <v>15000.0</v>
      </c>
      <c r="H8" s="3">
        <v>75000.0</v>
      </c>
    </row>
    <row r="9">
      <c r="A9" s="2">
        <v>46281.0</v>
      </c>
      <c r="B9" s="3" t="s">
        <v>20</v>
      </c>
      <c r="C9" s="3" t="s">
        <v>9</v>
      </c>
      <c r="D9" s="3" t="s">
        <v>16</v>
      </c>
      <c r="E9" s="3" t="s">
        <v>11</v>
      </c>
      <c r="F9" s="3">
        <v>6.0</v>
      </c>
      <c r="G9" s="3">
        <v>12000.0</v>
      </c>
      <c r="H9" s="3">
        <v>72000.0</v>
      </c>
    </row>
    <row r="10">
      <c r="A10" s="2">
        <v>46269.0</v>
      </c>
      <c r="B10" s="3" t="s">
        <v>20</v>
      </c>
      <c r="C10" s="3" t="s">
        <v>9</v>
      </c>
      <c r="D10" s="3" t="s">
        <v>10</v>
      </c>
      <c r="E10" s="3" t="s">
        <v>18</v>
      </c>
      <c r="F10" s="3">
        <v>5.0</v>
      </c>
      <c r="G10" s="3">
        <v>12000.0</v>
      </c>
      <c r="H10" s="3">
        <v>60000.0</v>
      </c>
    </row>
    <row r="11">
      <c r="A11" s="2">
        <v>46272.0</v>
      </c>
      <c r="B11" s="3" t="s">
        <v>19</v>
      </c>
      <c r="C11" s="3" t="s">
        <v>9</v>
      </c>
      <c r="D11" s="3" t="s">
        <v>12</v>
      </c>
      <c r="E11" s="3" t="s">
        <v>15</v>
      </c>
      <c r="F11" s="3">
        <v>4.0</v>
      </c>
      <c r="G11" s="3">
        <v>15000.0</v>
      </c>
      <c r="H11" s="3">
        <v>60000.0</v>
      </c>
    </row>
    <row r="12">
      <c r="A12" s="2">
        <v>46290.0</v>
      </c>
      <c r="B12" s="3" t="s">
        <v>19</v>
      </c>
      <c r="C12" s="3" t="s">
        <v>9</v>
      </c>
      <c r="D12" s="3" t="s">
        <v>14</v>
      </c>
      <c r="E12" s="3" t="s">
        <v>13</v>
      </c>
      <c r="F12" s="3">
        <v>4.0</v>
      </c>
      <c r="G12" s="3">
        <v>15000.0</v>
      </c>
      <c r="H12" s="3">
        <v>60000.0</v>
      </c>
    </row>
    <row r="13">
      <c r="A13" s="2">
        <v>46293.0</v>
      </c>
      <c r="B13" s="3" t="s">
        <v>20</v>
      </c>
      <c r="C13" s="3" t="s">
        <v>9</v>
      </c>
      <c r="D13" s="3" t="s">
        <v>12</v>
      </c>
      <c r="E13" s="3" t="s">
        <v>18</v>
      </c>
      <c r="F13" s="3">
        <v>5.0</v>
      </c>
      <c r="G13" s="3">
        <v>12000.0</v>
      </c>
      <c r="H13" s="3">
        <v>60000.0</v>
      </c>
    </row>
    <row r="14">
      <c r="A14" s="2">
        <v>46287.0</v>
      </c>
      <c r="B14" s="3" t="s">
        <v>20</v>
      </c>
      <c r="C14" s="3" t="s">
        <v>9</v>
      </c>
      <c r="D14" s="3" t="s">
        <v>10</v>
      </c>
      <c r="E14" s="3" t="s">
        <v>15</v>
      </c>
      <c r="F14" s="3">
        <v>4.0</v>
      </c>
      <c r="G14" s="3">
        <v>12000.0</v>
      </c>
      <c r="H14" s="3">
        <v>48000.0</v>
      </c>
    </row>
    <row r="15">
      <c r="A15" s="2">
        <v>46278.0</v>
      </c>
      <c r="B15" s="3" t="s">
        <v>19</v>
      </c>
      <c r="C15" s="3" t="s">
        <v>9</v>
      </c>
      <c r="D15" s="3" t="s">
        <v>16</v>
      </c>
      <c r="E15" s="3" t="s">
        <v>18</v>
      </c>
      <c r="F15" s="3">
        <v>3.0</v>
      </c>
      <c r="G15" s="3">
        <v>15000.0</v>
      </c>
      <c r="H15" s="3">
        <v>45000.0</v>
      </c>
    </row>
    <row r="16">
      <c r="A16" s="2">
        <v>46275.0</v>
      </c>
      <c r="B16" s="3" t="s">
        <v>20</v>
      </c>
      <c r="C16" s="3" t="s">
        <v>9</v>
      </c>
      <c r="D16" s="3" t="s">
        <v>14</v>
      </c>
      <c r="E16" s="3" t="s">
        <v>13</v>
      </c>
      <c r="F16" s="3">
        <v>3.0</v>
      </c>
      <c r="G16" s="3">
        <v>12000.0</v>
      </c>
      <c r="H16" s="3">
        <v>36000.0</v>
      </c>
    </row>
    <row r="17">
      <c r="A17" s="2">
        <v>46289.0</v>
      </c>
      <c r="B17" s="3" t="s">
        <v>21</v>
      </c>
      <c r="C17" s="3" t="s">
        <v>22</v>
      </c>
      <c r="D17" s="3" t="s">
        <v>16</v>
      </c>
      <c r="E17" s="3" t="s">
        <v>17</v>
      </c>
      <c r="F17" s="3">
        <v>14.0</v>
      </c>
      <c r="G17" s="3">
        <v>2000.0</v>
      </c>
      <c r="H17" s="3">
        <v>28000.0</v>
      </c>
    </row>
    <row r="18">
      <c r="A18" s="2">
        <v>46271.0</v>
      </c>
      <c r="B18" s="3" t="s">
        <v>21</v>
      </c>
      <c r="C18" s="3" t="s">
        <v>22</v>
      </c>
      <c r="D18" s="3" t="s">
        <v>14</v>
      </c>
      <c r="E18" s="3" t="s">
        <v>11</v>
      </c>
      <c r="F18" s="3">
        <v>12.0</v>
      </c>
      <c r="G18" s="3">
        <v>2000.0</v>
      </c>
      <c r="H18" s="3">
        <v>24000.0</v>
      </c>
    </row>
    <row r="19">
      <c r="A19" s="2">
        <v>46283.0</v>
      </c>
      <c r="B19" s="3" t="s">
        <v>21</v>
      </c>
      <c r="C19" s="3" t="s">
        <v>22</v>
      </c>
      <c r="D19" s="3" t="s">
        <v>10</v>
      </c>
      <c r="E19" s="3" t="s">
        <v>18</v>
      </c>
      <c r="F19" s="3">
        <v>11.0</v>
      </c>
      <c r="G19" s="3">
        <v>2000.0</v>
      </c>
      <c r="H19" s="3">
        <v>22000.0</v>
      </c>
    </row>
    <row r="20">
      <c r="A20" s="2">
        <v>46295.0</v>
      </c>
      <c r="B20" s="3" t="s">
        <v>21</v>
      </c>
      <c r="C20" s="3" t="s">
        <v>22</v>
      </c>
      <c r="D20" s="3" t="s">
        <v>14</v>
      </c>
      <c r="E20" s="3" t="s">
        <v>13</v>
      </c>
      <c r="F20" s="3">
        <v>10.0</v>
      </c>
      <c r="G20" s="3">
        <v>2000.0</v>
      </c>
      <c r="H20" s="3">
        <v>20000.0</v>
      </c>
    </row>
    <row r="21">
      <c r="A21" s="2">
        <v>46277.0</v>
      </c>
      <c r="B21" s="3" t="s">
        <v>21</v>
      </c>
      <c r="C21" s="3" t="s">
        <v>22</v>
      </c>
      <c r="D21" s="3" t="s">
        <v>12</v>
      </c>
      <c r="E21" s="3" t="s">
        <v>15</v>
      </c>
      <c r="F21" s="3">
        <v>9.0</v>
      </c>
      <c r="G21" s="3">
        <v>2000.0</v>
      </c>
      <c r="H21" s="3">
        <v>18000.0</v>
      </c>
    </row>
    <row r="22">
      <c r="A22" s="2">
        <v>46292.0</v>
      </c>
      <c r="B22" s="3" t="s">
        <v>24</v>
      </c>
      <c r="C22" s="3" t="s">
        <v>22</v>
      </c>
      <c r="D22" s="3" t="s">
        <v>10</v>
      </c>
      <c r="E22" s="3" t="s">
        <v>15</v>
      </c>
      <c r="F22" s="3">
        <v>12.0</v>
      </c>
      <c r="G22" s="3">
        <v>1500.0</v>
      </c>
      <c r="H22" s="3">
        <v>18000.0</v>
      </c>
    </row>
    <row r="23">
      <c r="A23" s="2">
        <v>46279.0</v>
      </c>
      <c r="B23" s="3" t="s">
        <v>26</v>
      </c>
      <c r="C23" s="3" t="s">
        <v>22</v>
      </c>
      <c r="D23" s="3" t="s">
        <v>14</v>
      </c>
      <c r="E23" s="3" t="s">
        <v>17</v>
      </c>
      <c r="F23" s="3">
        <v>20.0</v>
      </c>
      <c r="G23" s="3">
        <v>800.0</v>
      </c>
      <c r="H23" s="3">
        <v>16000.0</v>
      </c>
    </row>
    <row r="24">
      <c r="A24" s="2">
        <v>46274.0</v>
      </c>
      <c r="B24" s="3" t="s">
        <v>24</v>
      </c>
      <c r="C24" s="3" t="s">
        <v>22</v>
      </c>
      <c r="D24" s="3" t="s">
        <v>16</v>
      </c>
      <c r="E24" s="3" t="s">
        <v>17</v>
      </c>
      <c r="F24" s="3">
        <v>10.0</v>
      </c>
      <c r="G24" s="3">
        <v>1500.0</v>
      </c>
      <c r="H24" s="3">
        <v>15000.0</v>
      </c>
    </row>
    <row r="25">
      <c r="A25" s="2">
        <v>46285.0</v>
      </c>
      <c r="B25" s="3" t="s">
        <v>26</v>
      </c>
      <c r="C25" s="3" t="s">
        <v>22</v>
      </c>
      <c r="D25" s="3" t="s">
        <v>16</v>
      </c>
      <c r="E25" s="3" t="s">
        <v>13</v>
      </c>
      <c r="F25" s="3">
        <v>18.0</v>
      </c>
      <c r="G25" s="3">
        <v>800.0</v>
      </c>
      <c r="H25" s="3">
        <v>14400.0</v>
      </c>
    </row>
    <row r="26">
      <c r="A26" s="2">
        <v>46286.0</v>
      </c>
      <c r="B26" s="3" t="s">
        <v>24</v>
      </c>
      <c r="C26" s="3" t="s">
        <v>22</v>
      </c>
      <c r="D26" s="3" t="s">
        <v>14</v>
      </c>
      <c r="E26" s="3" t="s">
        <v>11</v>
      </c>
      <c r="F26" s="3">
        <v>9.0</v>
      </c>
      <c r="G26" s="3">
        <v>1500.0</v>
      </c>
      <c r="H26" s="3">
        <v>13500.0</v>
      </c>
    </row>
    <row r="27">
      <c r="A27" s="2">
        <v>46291.0</v>
      </c>
      <c r="B27" s="3" t="s">
        <v>26</v>
      </c>
      <c r="C27" s="3" t="s">
        <v>22</v>
      </c>
      <c r="D27" s="3" t="s">
        <v>12</v>
      </c>
      <c r="E27" s="3" t="s">
        <v>11</v>
      </c>
      <c r="F27" s="3">
        <v>16.0</v>
      </c>
      <c r="G27" s="3">
        <v>800.0</v>
      </c>
      <c r="H27" s="3">
        <v>12800.0</v>
      </c>
    </row>
    <row r="28">
      <c r="A28" s="2">
        <v>46268.0</v>
      </c>
      <c r="B28" s="3" t="s">
        <v>24</v>
      </c>
      <c r="C28" s="3" t="s">
        <v>22</v>
      </c>
      <c r="D28" s="3" t="s">
        <v>14</v>
      </c>
      <c r="E28" s="3" t="s">
        <v>15</v>
      </c>
      <c r="F28" s="3">
        <v>8.0</v>
      </c>
      <c r="G28" s="3">
        <v>1500.0</v>
      </c>
      <c r="H28" s="3">
        <v>12000.0</v>
      </c>
    </row>
    <row r="29">
      <c r="A29" s="2">
        <v>46273.0</v>
      </c>
      <c r="B29" s="3" t="s">
        <v>26</v>
      </c>
      <c r="C29" s="3" t="s">
        <v>22</v>
      </c>
      <c r="D29" s="3" t="s">
        <v>10</v>
      </c>
      <c r="E29" s="3" t="s">
        <v>18</v>
      </c>
      <c r="F29" s="3">
        <v>15.0</v>
      </c>
      <c r="G29" s="3">
        <v>800.0</v>
      </c>
      <c r="H29" s="3">
        <v>12000.0</v>
      </c>
    </row>
    <row r="30">
      <c r="A30" s="2">
        <v>46280.0</v>
      </c>
      <c r="B30" s="3" t="s">
        <v>24</v>
      </c>
      <c r="C30" s="3" t="s">
        <v>22</v>
      </c>
      <c r="D30" s="3" t="s">
        <v>12</v>
      </c>
      <c r="E30" s="3" t="s">
        <v>13</v>
      </c>
      <c r="F30" s="3">
        <v>7.0</v>
      </c>
      <c r="G30" s="3">
        <v>1500.0</v>
      </c>
      <c r="H30" s="3">
        <v>10500.0</v>
      </c>
    </row>
    <row r="31">
      <c r="A31" s="2">
        <v>46267.0</v>
      </c>
      <c r="B31" s="3" t="s">
        <v>26</v>
      </c>
      <c r="C31" s="3" t="s">
        <v>22</v>
      </c>
      <c r="D31" s="3" t="s">
        <v>12</v>
      </c>
      <c r="E31" s="3" t="s">
        <v>11</v>
      </c>
      <c r="F31" s="3">
        <v>10.0</v>
      </c>
      <c r="G31" s="3">
        <v>800.0</v>
      </c>
      <c r="H31" s="3">
        <v>8000.0</v>
      </c>
    </row>
  </sheetData>
  <autoFilter ref="$A$1:$H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25"/>
  </cols>
  <sheetData>
    <row r="1">
      <c r="A1" s="3" t="s">
        <v>27</v>
      </c>
      <c r="B1" s="3" t="s">
        <v>28</v>
      </c>
    </row>
    <row r="2">
      <c r="A2" s="3" t="s">
        <v>29</v>
      </c>
      <c r="B2" s="4">
        <f>SUM('Raw Data '!H2:H31)</f>
        <v>1695200</v>
      </c>
    </row>
    <row r="3">
      <c r="A3" s="3" t="s">
        <v>30</v>
      </c>
      <c r="B3" s="4">
        <f>SUM('Raw Data '!F2:F31)</f>
        <v>237</v>
      </c>
    </row>
    <row r="4">
      <c r="A4" s="3" t="s">
        <v>31</v>
      </c>
      <c r="B4" s="4">
        <f>AVERAGE('Raw Data '!H2:H31)</f>
        <v>56506.66667</v>
      </c>
    </row>
    <row r="5">
      <c r="A5" s="3" t="s">
        <v>32</v>
      </c>
      <c r="B5" s="4">
        <f>COUNTA('Raw Data '!A2:A31)</f>
        <v>30</v>
      </c>
    </row>
    <row r="6">
      <c r="A6" s="3" t="s">
        <v>35</v>
      </c>
      <c r="B6" s="4">
        <f>SUMIF('Raw Data '!D2:D31,"North",'Raw Data '!H2:H31)</f>
        <v>519300</v>
      </c>
    </row>
    <row r="7">
      <c r="A7" s="3" t="s">
        <v>38</v>
      </c>
      <c r="B7" s="4">
        <f>SUMIF('Raw Data '!D2:D31,"South",'Raw Data '!H2:H31)</f>
        <v>346500</v>
      </c>
    </row>
    <row r="8">
      <c r="A8" s="3" t="s">
        <v>40</v>
      </c>
      <c r="B8" s="4">
        <f>SUMIF('Raw Data '!D2:D31,"East",'Raw Data '!H2:H31)</f>
        <v>380000</v>
      </c>
    </row>
    <row r="9">
      <c r="A9" s="3" t="s">
        <v>42</v>
      </c>
      <c r="B9" s="4">
        <f>SUMIF('Raw Data '!D2:D31,"West",'Raw Data '!H2:H31)</f>
        <v>449400</v>
      </c>
    </row>
    <row r="10">
      <c r="A10" s="3" t="s">
        <v>44</v>
      </c>
      <c r="B10" s="4">
        <f>SUMIF('Raw Data '!C2:C31,"Electronics",'Raw Data '!H2:H31)</f>
        <v>1451000</v>
      </c>
    </row>
    <row r="11">
      <c r="A11" s="3" t="s">
        <v>48</v>
      </c>
      <c r="B11" s="4">
        <f>SUMIF('Raw Data '!C2:C31,"Accessories",'Raw Data '!H2:H31)</f>
        <v>244200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4" max="4" width="64.88"/>
  </cols>
  <sheetData>
    <row r="1">
      <c r="A1" s="5" t="s">
        <v>33</v>
      </c>
    </row>
    <row r="3">
      <c r="A3" s="6" t="s">
        <v>34</v>
      </c>
      <c r="B3" s="6" t="s">
        <v>36</v>
      </c>
      <c r="D3" s="7" t="s">
        <v>37</v>
      </c>
    </row>
    <row r="4">
      <c r="A4" s="3" t="s">
        <v>29</v>
      </c>
      <c r="B4" s="4">
        <f>SUM('Raw Data '!H2:H31)</f>
        <v>1695200</v>
      </c>
      <c r="D4" s="3" t="s">
        <v>39</v>
      </c>
    </row>
    <row r="5">
      <c r="A5" s="3" t="s">
        <v>30</v>
      </c>
      <c r="B5" s="4">
        <f>SUM('Raw Data '!F2:F31)</f>
        <v>237</v>
      </c>
      <c r="D5" s="3" t="s">
        <v>41</v>
      </c>
    </row>
    <row r="6">
      <c r="A6" s="3" t="s">
        <v>31</v>
      </c>
      <c r="B6" s="4">
        <f>AVERAGE('Raw Data '!H2:H31)</f>
        <v>56506.66667</v>
      </c>
      <c r="D6" s="3" t="s">
        <v>43</v>
      </c>
    </row>
    <row r="7">
      <c r="A7" s="3" t="s">
        <v>32</v>
      </c>
      <c r="B7" s="4">
        <f>COUNTA('Raw Data '!A2:A31)</f>
        <v>30</v>
      </c>
      <c r="D7" s="3" t="s">
        <v>45</v>
      </c>
    </row>
    <row r="8">
      <c r="A8" s="3" t="s">
        <v>46</v>
      </c>
      <c r="B8" s="4">
        <f>B4/B7</f>
        <v>56506.66667</v>
      </c>
      <c r="D8" s="3" t="s">
        <v>47</v>
      </c>
    </row>
  </sheetData>
  <drawing r:id="rId1"/>
</worksheet>
</file>